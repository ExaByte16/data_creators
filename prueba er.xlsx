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xr:revisionPtr revIDLastSave="0" documentId="13_ncr:1_{DFF60A10-04D9-4D8F-B69E-0701886D8D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os_estado_resultados" sheetId="1" r:id="rId1"/>
  </sheets>
  <definedNames>
    <definedName name="_xlnm._FilterDatabase" localSheetId="0" hidden="1">datos_estado_resultados!$A$1:$J$1</definedName>
  </definedNames>
  <calcPr calcId="191029"/>
</workbook>
</file>

<file path=xl/calcChain.xml><?xml version="1.0" encoding="utf-8"?>
<calcChain xmlns="http://schemas.openxmlformats.org/spreadsheetml/2006/main">
  <c r="J97" i="1" l="1"/>
  <c r="J83" i="1"/>
  <c r="J80" i="1"/>
  <c r="J7" i="1"/>
  <c r="J98" i="1" l="1"/>
  <c r="J101" i="1"/>
  <c r="J103" i="1" s="1"/>
</calcChain>
</file>

<file path=xl/sharedStrings.xml><?xml version="1.0" encoding="utf-8"?>
<sst xmlns="http://schemas.openxmlformats.org/spreadsheetml/2006/main" count="736" uniqueCount="121">
  <si>
    <t>MES</t>
  </si>
  <si>
    <t>ESTADO</t>
  </si>
  <si>
    <t>AÑO</t>
  </si>
  <si>
    <t>CENTRO DE COSTOS</t>
  </si>
  <si>
    <t>CLASE</t>
  </si>
  <si>
    <t>GRUPO</t>
  </si>
  <si>
    <t>SUBGRUPO</t>
  </si>
  <si>
    <t>CUENTA</t>
  </si>
  <si>
    <t>TERCERO</t>
  </si>
  <si>
    <t>VALOR</t>
  </si>
  <si>
    <t>DICIEMBRE</t>
  </si>
  <si>
    <t>FINANCIEROS</t>
  </si>
  <si>
    <t>2025</t>
  </si>
  <si>
    <t>N/A</t>
  </si>
  <si>
    <t>INGRESOS</t>
  </si>
  <si>
    <t>CUENTA DE RESULTADOS</t>
  </si>
  <si>
    <t>OPERACIONALES</t>
  </si>
  <si>
    <t>4155 - Actividades inmobiliarias, Empresariales y de alqu</t>
  </si>
  <si>
    <t>GASTOS</t>
  </si>
  <si>
    <t>OPERACIONALES DE ADMINISTRACIÓN</t>
  </si>
  <si>
    <t>5130 - Seguros</t>
  </si>
  <si>
    <t>COSTOS DE VENTAS</t>
  </si>
  <si>
    <t>COSTO DE VENTAS Y DE PRESTACIÓN DE SERVICIOS</t>
  </si>
  <si>
    <t>6145 - Transporte, almacenamiento y comunicaciones</t>
  </si>
  <si>
    <t>6155 - Actividades inmobiliarias, empresariales y de alqu</t>
  </si>
  <si>
    <t>413501 - Comercio al por mayor y al detal</t>
  </si>
  <si>
    <t>417505 - Devolución</t>
  </si>
  <si>
    <t>NO OPERACIONALES</t>
  </si>
  <si>
    <t>421005 - Intereses</t>
  </si>
  <si>
    <t>429581 - Ajuste al peso</t>
  </si>
  <si>
    <t>510506 - Sueldos</t>
  </si>
  <si>
    <t>510515 - Horas extras y recargos</t>
  </si>
  <si>
    <t>510524 - Incapacidades</t>
  </si>
  <si>
    <t>510527 - Auxilio de transporte</t>
  </si>
  <si>
    <t>510530 - Cesantías</t>
  </si>
  <si>
    <t>510533 - Intereses sobre cesantías</t>
  </si>
  <si>
    <t>510536 - Prima de servicios</t>
  </si>
  <si>
    <t>510539 - Vacaciones</t>
  </si>
  <si>
    <t>510545 - Auxilios</t>
  </si>
  <si>
    <t>510548 - Bonificaciones</t>
  </si>
  <si>
    <t>510551 - Dotación y suministro a trabajadores</t>
  </si>
  <si>
    <t>510560 - Indemnizaciones laborales</t>
  </si>
  <si>
    <t>510568 - Aportes a administradora de riesgos laborales</t>
  </si>
  <si>
    <t>510569 - Aportes a entidades promotoras de salud eps</t>
  </si>
  <si>
    <t>510570 - Aporte a fondos de pensión y/o cesantías</t>
  </si>
  <si>
    <t>510572 - Aportes cajas de compensación familiar</t>
  </si>
  <si>
    <t>510584 - Gastos médicos y drogas</t>
  </si>
  <si>
    <t>511025 - Asesoría jurídica</t>
  </si>
  <si>
    <t>511035 - Asesoría técnica</t>
  </si>
  <si>
    <t>511505 - Industria y comercio</t>
  </si>
  <si>
    <t>511570 - Prorrateo de Iva</t>
  </si>
  <si>
    <t>511571 - Impuesto al consumo</t>
  </si>
  <si>
    <t>511595 - Otros impuestos</t>
  </si>
  <si>
    <t>512010 - Construcciones y edificaciones</t>
  </si>
  <si>
    <t>513505 - Aseo y vigilancia</t>
  </si>
  <si>
    <t>513515 - Asistencia técnica</t>
  </si>
  <si>
    <t>513520 - Procesamiento electrónico de datos</t>
  </si>
  <si>
    <t>513525 - Acueducto y alcantarillado</t>
  </si>
  <si>
    <t>513530 - Energía eléctrica</t>
  </si>
  <si>
    <t>513535 - Teléfono</t>
  </si>
  <si>
    <t>513550 - Transporte fletes y acarreos</t>
  </si>
  <si>
    <t>513555 - Gas</t>
  </si>
  <si>
    <t>513595 - Otros</t>
  </si>
  <si>
    <t>514015 - Tramites y licencias</t>
  </si>
  <si>
    <t>514510 - Construcciones y edificaciones</t>
  </si>
  <si>
    <t>514520 - Equipo de oficina</t>
  </si>
  <si>
    <t>514540 - Flota y equipo de transporte</t>
  </si>
  <si>
    <t>516015 - Equipo de oficina</t>
  </si>
  <si>
    <t>516020 - Equipo de computación y comunicación</t>
  </si>
  <si>
    <t>519520 - Gastos de representación y relaciones publicas</t>
  </si>
  <si>
    <t>519525 - Elementos de aseo y cafetería</t>
  </si>
  <si>
    <t>519530 - Útiles papelería y fotocopias</t>
  </si>
  <si>
    <t>519560 - Casino y restaurante</t>
  </si>
  <si>
    <t>519565 - Parqueaderos</t>
  </si>
  <si>
    <t>519595 - Otros</t>
  </si>
  <si>
    <t>OPERACIONALES DE VENTAS</t>
  </si>
  <si>
    <t>520506 - Sueldos</t>
  </si>
  <si>
    <t>520515 - Horas extras y recargos</t>
  </si>
  <si>
    <t>520524 - Incapacidades</t>
  </si>
  <si>
    <t>520527 - Auxilio de transporte</t>
  </si>
  <si>
    <t>520530 - Cesantías</t>
  </si>
  <si>
    <t>520533 - Intereses sobre cesantías</t>
  </si>
  <si>
    <t>520536 - Prima de servicios</t>
  </si>
  <si>
    <t>520539 - Vacaciones</t>
  </si>
  <si>
    <t>520548 - Bonificaciones</t>
  </si>
  <si>
    <t>520560 - Indemnizaciones laborales</t>
  </si>
  <si>
    <t>520568 - Aportes a administradora de riesgos laborales</t>
  </si>
  <si>
    <t>520569 - Aportes a entidades promotoras de salud eps</t>
  </si>
  <si>
    <t>520570 - Aporte a fondos de pensión y/o cesantías</t>
  </si>
  <si>
    <t>520572 - Aportes cajas de compensación familiar</t>
  </si>
  <si>
    <t>523560 - Publicidad propaganda y promoción</t>
  </si>
  <si>
    <t>529505 - Comisiones</t>
  </si>
  <si>
    <t>530505 - Gastos bancarios</t>
  </si>
  <si>
    <t>530515 - Comisiones</t>
  </si>
  <si>
    <t>530520 - Intereses</t>
  </si>
  <si>
    <t>530535 - Descuentos comerciales condicionados</t>
  </si>
  <si>
    <t>531520 - Impuestos asumidos</t>
  </si>
  <si>
    <t>539520 - Multas sanciones y litigios</t>
  </si>
  <si>
    <t>539581 - Ajuste al peso</t>
  </si>
  <si>
    <t>539595 - Otros</t>
  </si>
  <si>
    <t>COSTOS DE PRODUCCIÓN O DE OPERACIÓN</t>
  </si>
  <si>
    <t>MANO DE OBRA DIRECTA</t>
  </si>
  <si>
    <t>720506 - Sueldos</t>
  </si>
  <si>
    <t>720515 - Horas extras y recargos</t>
  </si>
  <si>
    <t>720524 - Incapacidades</t>
  </si>
  <si>
    <t>720527 - Auxilio de transporte</t>
  </si>
  <si>
    <t>720530 - Cesantías</t>
  </si>
  <si>
    <t>720533 - Intereses sobre cesantías</t>
  </si>
  <si>
    <t>720536 - Prima de servicios</t>
  </si>
  <si>
    <t>720539 - Vacaciones</t>
  </si>
  <si>
    <t>720548 - Bonificaciones</t>
  </si>
  <si>
    <t>720568 - Aportes a administradora de riesgos laborales</t>
  </si>
  <si>
    <t>720569 - Aportes a entidades promotoras de salud eps</t>
  </si>
  <si>
    <t>720570 - Aporte a fondos de pensión y/o cesantías</t>
  </si>
  <si>
    <t>720572 - Aportes cajas de compensación familiar</t>
  </si>
  <si>
    <t>Total INGRESOS</t>
  </si>
  <si>
    <t>Total GASTOS</t>
  </si>
  <si>
    <t>Total COSTOS DE VENTAS</t>
  </si>
  <si>
    <t>Total COSTOS DE PRODUCCIÓN O DE OPERACIÓN</t>
  </si>
  <si>
    <t>Total general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</si>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</sst>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topLeftCell="E54" workbookViewId="0">
      <selection activeCell="H79" sqref="H79"/>
    </sheetView>
  </sheetViews>
  <sheetFormatPr baseColWidth="10" defaultColWidth="9.140625" defaultRowHeight="15" outlineLevelRow="2" x14ac:dyDescent="0.25"/>
  <cols>
    <col min="1" max="1" width="10.5703125" bestFit="1" customWidth="1"/>
    <col min="2" max="2" width="13" bestFit="1" customWidth="1"/>
    <col min="3" max="3" width="9.7109375" bestFit="1" customWidth="1"/>
    <col min="4" max="4" width="23" bestFit="1" customWidth="1"/>
    <col min="5" max="5" width="39.42578125" bestFit="1" customWidth="1"/>
    <col min="6" max="6" width="22.85546875" bestFit="1" customWidth="1"/>
    <col min="7" max="7" width="46" bestFit="1" customWidth="1"/>
    <col min="8" max="8" width="51.85546875" bestFit="1" customWidth="1"/>
    <col min="9" max="9" width="13.42578125" bestFit="1" customWidth="1"/>
    <col min="10" max="10" width="15.140625" style="4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outlineLevel="2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25</v>
      </c>
      <c r="J2" s="4">
        <v>0</v>
      </c>
    </row>
    <row r="3" spans="1:10" outlineLevel="2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J3" s="4">
        <v>604041688.02999997</v>
      </c>
    </row>
    <row r="4" spans="1:10" outlineLevel="2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26</v>
      </c>
      <c r="J4" s="4">
        <v>-7514064.8399999999</v>
      </c>
    </row>
    <row r="5" spans="1:10" outlineLevel="2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27</v>
      </c>
      <c r="H5" t="s">
        <v>28</v>
      </c>
      <c r="J5" s="4">
        <v>1025</v>
      </c>
    </row>
    <row r="6" spans="1:10" outlineLevel="2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27</v>
      </c>
      <c r="H6" t="s">
        <v>29</v>
      </c>
      <c r="J6" s="4">
        <v>0</v>
      </c>
    </row>
    <row r="7" spans="1:10" outlineLevel="1" x14ac:dyDescent="0.25">
      <c r="E7" s="2" t="s">
        <v>115</v>
      </c>
      <c r="J7" s="4">
        <f>SUBTOTAL(9,J2:J6)</f>
        <v>596528648.18999994</v>
      </c>
    </row>
    <row r="8" spans="1:10" outlineLevel="2" x14ac:dyDescent="0.25">
      <c r="A8" t="s">
        <v>10</v>
      </c>
      <c r="B8" t="s">
        <v>11</v>
      </c>
      <c r="C8" t="s">
        <v>12</v>
      </c>
      <c r="D8" t="s">
        <v>13</v>
      </c>
      <c r="E8" t="s">
        <v>18</v>
      </c>
      <c r="F8" t="s">
        <v>15</v>
      </c>
      <c r="G8" t="s">
        <v>19</v>
      </c>
      <c r="H8" t="s">
        <v>30</v>
      </c>
      <c r="J8" s="4">
        <v>16783334</v>
      </c>
    </row>
    <row r="9" spans="1:10" outlineLevel="2" x14ac:dyDescent="0.25">
      <c r="A9" t="s">
        <v>10</v>
      </c>
      <c r="B9" t="s">
        <v>11</v>
      </c>
      <c r="C9" t="s">
        <v>12</v>
      </c>
      <c r="D9" t="s">
        <v>13</v>
      </c>
      <c r="E9" t="s">
        <v>18</v>
      </c>
      <c r="F9" t="s">
        <v>15</v>
      </c>
      <c r="G9" t="s">
        <v>19</v>
      </c>
      <c r="H9" t="s">
        <v>31</v>
      </c>
      <c r="J9" s="4">
        <v>0</v>
      </c>
    </row>
    <row r="10" spans="1:10" s="5" customFormat="1" outlineLevel="2" x14ac:dyDescent="0.25">
      <c r="H10" s="5">
        <v>510518</v>
      </c>
      <c r="J10" s="6">
        <v>910735</v>
      </c>
    </row>
    <row r="11" spans="1:10" outlineLevel="2" x14ac:dyDescent="0.25">
      <c r="A11" t="s">
        <v>10</v>
      </c>
      <c r="B11" t="s">
        <v>11</v>
      </c>
      <c r="C11" t="s">
        <v>12</v>
      </c>
      <c r="D11" t="s">
        <v>13</v>
      </c>
      <c r="E11" t="s">
        <v>18</v>
      </c>
      <c r="F11" t="s">
        <v>15</v>
      </c>
      <c r="G11" t="s">
        <v>19</v>
      </c>
      <c r="H11" t="s">
        <v>32</v>
      </c>
      <c r="J11" s="4">
        <v>0</v>
      </c>
    </row>
    <row r="12" spans="1:10" outlineLevel="2" x14ac:dyDescent="0.25">
      <c r="A12" t="s">
        <v>10</v>
      </c>
      <c r="B12" t="s">
        <v>11</v>
      </c>
      <c r="C12" t="s">
        <v>12</v>
      </c>
      <c r="D12" t="s">
        <v>13</v>
      </c>
      <c r="E12" t="s">
        <v>18</v>
      </c>
      <c r="F12" t="s">
        <v>15</v>
      </c>
      <c r="G12" t="s">
        <v>19</v>
      </c>
      <c r="H12" t="s">
        <v>33</v>
      </c>
      <c r="J12" s="4">
        <v>33333</v>
      </c>
    </row>
    <row r="13" spans="1:10" outlineLevel="2" x14ac:dyDescent="0.25">
      <c r="A13" t="s">
        <v>10</v>
      </c>
      <c r="B13" t="s">
        <v>11</v>
      </c>
      <c r="C13" t="s">
        <v>12</v>
      </c>
      <c r="D13" t="s">
        <v>13</v>
      </c>
      <c r="E13" t="s">
        <v>18</v>
      </c>
      <c r="F13" t="s">
        <v>15</v>
      </c>
      <c r="G13" t="s">
        <v>19</v>
      </c>
      <c r="H13" t="s">
        <v>34</v>
      </c>
      <c r="J13" s="4">
        <v>1191946</v>
      </c>
    </row>
    <row r="14" spans="1:10" outlineLevel="2" x14ac:dyDescent="0.25">
      <c r="A14" t="s">
        <v>10</v>
      </c>
      <c r="B14" t="s">
        <v>11</v>
      </c>
      <c r="C14" t="s">
        <v>12</v>
      </c>
      <c r="D14" t="s">
        <v>13</v>
      </c>
      <c r="E14" t="s">
        <v>18</v>
      </c>
      <c r="F14" t="s">
        <v>15</v>
      </c>
      <c r="G14" t="s">
        <v>19</v>
      </c>
      <c r="H14" t="s">
        <v>35</v>
      </c>
      <c r="J14" s="4">
        <v>-872445</v>
      </c>
    </row>
    <row r="15" spans="1:10" outlineLevel="2" x14ac:dyDescent="0.25">
      <c r="A15" t="s">
        <v>10</v>
      </c>
      <c r="B15" t="s">
        <v>11</v>
      </c>
      <c r="C15" t="s">
        <v>12</v>
      </c>
      <c r="D15" t="s">
        <v>13</v>
      </c>
      <c r="E15" t="s">
        <v>18</v>
      </c>
      <c r="F15" t="s">
        <v>15</v>
      </c>
      <c r="G15" t="s">
        <v>19</v>
      </c>
      <c r="H15" t="s">
        <v>36</v>
      </c>
      <c r="J15" s="4">
        <v>1010308</v>
      </c>
    </row>
    <row r="16" spans="1:10" outlineLevel="2" x14ac:dyDescent="0.25">
      <c r="A16" t="s">
        <v>10</v>
      </c>
      <c r="B16" t="s">
        <v>11</v>
      </c>
      <c r="C16" t="s">
        <v>12</v>
      </c>
      <c r="D16" t="s">
        <v>13</v>
      </c>
      <c r="E16" t="s">
        <v>18</v>
      </c>
      <c r="F16" t="s">
        <v>15</v>
      </c>
      <c r="G16" t="s">
        <v>19</v>
      </c>
      <c r="H16" t="s">
        <v>37</v>
      </c>
      <c r="J16" s="4">
        <v>1825464</v>
      </c>
    </row>
    <row r="17" spans="1:10" outlineLevel="2" x14ac:dyDescent="0.25">
      <c r="A17" t="s">
        <v>10</v>
      </c>
      <c r="B17" t="s">
        <v>11</v>
      </c>
      <c r="C17" t="s">
        <v>12</v>
      </c>
      <c r="D17" t="s">
        <v>13</v>
      </c>
      <c r="E17" t="s">
        <v>18</v>
      </c>
      <c r="F17" t="s">
        <v>15</v>
      </c>
      <c r="G17" t="s">
        <v>19</v>
      </c>
      <c r="H17" t="s">
        <v>38</v>
      </c>
      <c r="J17" s="4">
        <v>6060000</v>
      </c>
    </row>
    <row r="18" spans="1:10" outlineLevel="2" x14ac:dyDescent="0.25">
      <c r="A18" t="s">
        <v>10</v>
      </c>
      <c r="B18" t="s">
        <v>11</v>
      </c>
      <c r="C18" t="s">
        <v>12</v>
      </c>
      <c r="D18" t="s">
        <v>13</v>
      </c>
      <c r="E18" t="s">
        <v>18</v>
      </c>
      <c r="F18" t="s">
        <v>15</v>
      </c>
      <c r="G18" t="s">
        <v>19</v>
      </c>
      <c r="H18" t="s">
        <v>39</v>
      </c>
      <c r="J18" s="4">
        <v>0</v>
      </c>
    </row>
    <row r="19" spans="1:10" outlineLevel="2" x14ac:dyDescent="0.25">
      <c r="A19" t="s">
        <v>10</v>
      </c>
      <c r="B19" t="s">
        <v>11</v>
      </c>
      <c r="C19" t="s">
        <v>12</v>
      </c>
      <c r="D19" t="s">
        <v>13</v>
      </c>
      <c r="E19" t="s">
        <v>18</v>
      </c>
      <c r="F19" t="s">
        <v>15</v>
      </c>
      <c r="G19" t="s">
        <v>19</v>
      </c>
      <c r="H19" t="s">
        <v>40</v>
      </c>
      <c r="J19" s="4">
        <v>0</v>
      </c>
    </row>
    <row r="20" spans="1:10" outlineLevel="2" x14ac:dyDescent="0.25">
      <c r="A20" t="s">
        <v>10</v>
      </c>
      <c r="B20" t="s">
        <v>11</v>
      </c>
      <c r="C20" t="s">
        <v>12</v>
      </c>
      <c r="D20" t="s">
        <v>13</v>
      </c>
      <c r="E20" t="s">
        <v>18</v>
      </c>
      <c r="F20" t="s">
        <v>15</v>
      </c>
      <c r="G20" t="s">
        <v>19</v>
      </c>
      <c r="H20" t="s">
        <v>41</v>
      </c>
      <c r="J20" s="4">
        <v>402427</v>
      </c>
    </row>
    <row r="21" spans="1:10" outlineLevel="2" x14ac:dyDescent="0.25">
      <c r="A21" t="s">
        <v>10</v>
      </c>
      <c r="B21" t="s">
        <v>11</v>
      </c>
      <c r="C21" t="s">
        <v>12</v>
      </c>
      <c r="D21" t="s">
        <v>13</v>
      </c>
      <c r="E21" t="s">
        <v>18</v>
      </c>
      <c r="F21" t="s">
        <v>15</v>
      </c>
      <c r="G21" t="s">
        <v>19</v>
      </c>
      <c r="H21" t="s">
        <v>42</v>
      </c>
      <c r="J21" s="4">
        <v>145979</v>
      </c>
    </row>
    <row r="22" spans="1:10" outlineLevel="2" x14ac:dyDescent="0.25">
      <c r="A22" t="s">
        <v>10</v>
      </c>
      <c r="B22" t="s">
        <v>11</v>
      </c>
      <c r="C22" t="s">
        <v>12</v>
      </c>
      <c r="D22" t="s">
        <v>13</v>
      </c>
      <c r="E22" t="s">
        <v>18</v>
      </c>
      <c r="F22" t="s">
        <v>15</v>
      </c>
      <c r="G22" t="s">
        <v>19</v>
      </c>
      <c r="H22" t="s">
        <v>43</v>
      </c>
      <c r="J22" s="4">
        <v>-14679</v>
      </c>
    </row>
    <row r="23" spans="1:10" outlineLevel="2" x14ac:dyDescent="0.25">
      <c r="A23" t="s">
        <v>10</v>
      </c>
      <c r="B23" t="s">
        <v>11</v>
      </c>
      <c r="C23" t="s">
        <v>12</v>
      </c>
      <c r="D23" t="s">
        <v>13</v>
      </c>
      <c r="E23" t="s">
        <v>18</v>
      </c>
      <c r="F23" t="s">
        <v>15</v>
      </c>
      <c r="G23" t="s">
        <v>19</v>
      </c>
      <c r="H23" t="s">
        <v>44</v>
      </c>
      <c r="J23" s="4">
        <v>1954904</v>
      </c>
    </row>
    <row r="24" spans="1:10" outlineLevel="2" x14ac:dyDescent="0.25">
      <c r="A24" t="s">
        <v>10</v>
      </c>
      <c r="B24" t="s">
        <v>11</v>
      </c>
      <c r="C24" t="s">
        <v>12</v>
      </c>
      <c r="D24" t="s">
        <v>13</v>
      </c>
      <c r="E24" t="s">
        <v>18</v>
      </c>
      <c r="F24" t="s">
        <v>15</v>
      </c>
      <c r="G24" t="s">
        <v>19</v>
      </c>
      <c r="H24" t="s">
        <v>45</v>
      </c>
      <c r="J24" s="4">
        <v>2937463</v>
      </c>
    </row>
    <row r="25" spans="1:10" outlineLevel="2" x14ac:dyDescent="0.25">
      <c r="A25" t="s">
        <v>10</v>
      </c>
      <c r="B25" t="s">
        <v>11</v>
      </c>
      <c r="C25" t="s">
        <v>12</v>
      </c>
      <c r="D25" t="s">
        <v>13</v>
      </c>
      <c r="E25" t="s">
        <v>18</v>
      </c>
      <c r="F25" t="s">
        <v>15</v>
      </c>
      <c r="G25" t="s">
        <v>19</v>
      </c>
      <c r="H25" t="s">
        <v>46</v>
      </c>
      <c r="J25" s="4">
        <v>47000</v>
      </c>
    </row>
    <row r="26" spans="1:10" outlineLevel="2" x14ac:dyDescent="0.25">
      <c r="A26" t="s">
        <v>10</v>
      </c>
      <c r="B26" t="s">
        <v>11</v>
      </c>
      <c r="C26" t="s">
        <v>12</v>
      </c>
      <c r="D26" t="s">
        <v>13</v>
      </c>
      <c r="E26" t="s">
        <v>18</v>
      </c>
      <c r="F26" t="s">
        <v>15</v>
      </c>
      <c r="G26" t="s">
        <v>19</v>
      </c>
      <c r="H26" t="s">
        <v>47</v>
      </c>
      <c r="J26" s="4">
        <v>4270500</v>
      </c>
    </row>
    <row r="27" spans="1:10" s="5" customFormat="1" outlineLevel="2" x14ac:dyDescent="0.25">
      <c r="H27" s="5">
        <v>511030</v>
      </c>
      <c r="J27" s="6">
        <v>4270500</v>
      </c>
    </row>
    <row r="28" spans="1:10" outlineLevel="2" x14ac:dyDescent="0.25">
      <c r="A28" t="s">
        <v>10</v>
      </c>
      <c r="B28" t="s">
        <v>11</v>
      </c>
      <c r="C28" t="s">
        <v>12</v>
      </c>
      <c r="D28" t="s">
        <v>13</v>
      </c>
      <c r="E28" t="s">
        <v>18</v>
      </c>
      <c r="F28" t="s">
        <v>15</v>
      </c>
      <c r="G28" t="s">
        <v>19</v>
      </c>
      <c r="H28" t="s">
        <v>48</v>
      </c>
      <c r="J28" s="4">
        <v>7939120</v>
      </c>
    </row>
    <row r="29" spans="1:10" outlineLevel="2" x14ac:dyDescent="0.25">
      <c r="A29" t="s">
        <v>10</v>
      </c>
      <c r="B29" t="s">
        <v>11</v>
      </c>
      <c r="C29" t="s">
        <v>12</v>
      </c>
      <c r="D29" t="s">
        <v>13</v>
      </c>
      <c r="E29" t="s">
        <v>18</v>
      </c>
      <c r="F29" t="s">
        <v>15</v>
      </c>
      <c r="G29" t="s">
        <v>19</v>
      </c>
      <c r="H29" t="s">
        <v>49</v>
      </c>
      <c r="J29" s="4">
        <v>0</v>
      </c>
    </row>
    <row r="30" spans="1:10" outlineLevel="2" x14ac:dyDescent="0.25">
      <c r="A30" t="s">
        <v>10</v>
      </c>
      <c r="B30" t="s">
        <v>11</v>
      </c>
      <c r="C30" t="s">
        <v>12</v>
      </c>
      <c r="D30" t="s">
        <v>13</v>
      </c>
      <c r="E30" t="s">
        <v>18</v>
      </c>
      <c r="F30" t="s">
        <v>15</v>
      </c>
      <c r="G30" t="s">
        <v>19</v>
      </c>
      <c r="H30" t="s">
        <v>50</v>
      </c>
      <c r="J30" s="4">
        <v>0</v>
      </c>
    </row>
    <row r="31" spans="1:10" outlineLevel="2" x14ac:dyDescent="0.25">
      <c r="A31" t="s">
        <v>10</v>
      </c>
      <c r="B31" t="s">
        <v>11</v>
      </c>
      <c r="C31" t="s">
        <v>12</v>
      </c>
      <c r="D31" t="s">
        <v>13</v>
      </c>
      <c r="E31" t="s">
        <v>18</v>
      </c>
      <c r="F31" t="s">
        <v>15</v>
      </c>
      <c r="G31" t="s">
        <v>19</v>
      </c>
      <c r="H31" t="s">
        <v>51</v>
      </c>
      <c r="J31" s="4">
        <v>398253</v>
      </c>
    </row>
    <row r="32" spans="1:10" outlineLevel="2" x14ac:dyDescent="0.25">
      <c r="A32" t="s">
        <v>10</v>
      </c>
      <c r="B32" t="s">
        <v>11</v>
      </c>
      <c r="C32" t="s">
        <v>12</v>
      </c>
      <c r="D32" t="s">
        <v>13</v>
      </c>
      <c r="E32" t="s">
        <v>18</v>
      </c>
      <c r="F32" t="s">
        <v>15</v>
      </c>
      <c r="G32" t="s">
        <v>19</v>
      </c>
      <c r="H32" t="s">
        <v>52</v>
      </c>
      <c r="J32" s="4">
        <v>0</v>
      </c>
    </row>
    <row r="33" spans="1:10" outlineLevel="2" x14ac:dyDescent="0.25">
      <c r="A33" t="s">
        <v>10</v>
      </c>
      <c r="B33" t="s">
        <v>11</v>
      </c>
      <c r="C33" t="s">
        <v>12</v>
      </c>
      <c r="D33" t="s">
        <v>13</v>
      </c>
      <c r="E33" t="s">
        <v>18</v>
      </c>
      <c r="F33" t="s">
        <v>15</v>
      </c>
      <c r="G33" t="s">
        <v>19</v>
      </c>
      <c r="H33" t="s">
        <v>53</v>
      </c>
      <c r="J33" s="4">
        <v>31024437</v>
      </c>
    </row>
    <row r="34" spans="1:10" outlineLevel="2" x14ac:dyDescent="0.25">
      <c r="A34" t="s">
        <v>10</v>
      </c>
      <c r="B34" t="s">
        <v>11</v>
      </c>
      <c r="C34" t="s">
        <v>12</v>
      </c>
      <c r="D34" t="s">
        <v>13</v>
      </c>
      <c r="E34" t="s">
        <v>18</v>
      </c>
      <c r="F34" t="s">
        <v>15</v>
      </c>
      <c r="G34" t="s">
        <v>19</v>
      </c>
      <c r="H34" t="s">
        <v>20</v>
      </c>
      <c r="J34" s="4">
        <v>0</v>
      </c>
    </row>
    <row r="35" spans="1:10" outlineLevel="2" x14ac:dyDescent="0.25">
      <c r="A35" t="s">
        <v>10</v>
      </c>
      <c r="B35" t="s">
        <v>11</v>
      </c>
      <c r="C35" t="s">
        <v>12</v>
      </c>
      <c r="D35" t="s">
        <v>13</v>
      </c>
      <c r="E35" t="s">
        <v>18</v>
      </c>
      <c r="F35" t="s">
        <v>15</v>
      </c>
      <c r="G35" t="s">
        <v>19</v>
      </c>
      <c r="H35" t="s">
        <v>54</v>
      </c>
      <c r="J35" s="4">
        <v>2819751</v>
      </c>
    </row>
    <row r="36" spans="1:10" outlineLevel="2" x14ac:dyDescent="0.25">
      <c r="A36" t="s">
        <v>10</v>
      </c>
      <c r="B36" t="s">
        <v>11</v>
      </c>
      <c r="C36" t="s">
        <v>12</v>
      </c>
      <c r="D36" t="s">
        <v>13</v>
      </c>
      <c r="E36" t="s">
        <v>18</v>
      </c>
      <c r="F36" t="s">
        <v>15</v>
      </c>
      <c r="G36" t="s">
        <v>19</v>
      </c>
      <c r="H36" t="s">
        <v>55</v>
      </c>
      <c r="J36" s="4">
        <v>1770000</v>
      </c>
    </row>
    <row r="37" spans="1:10" outlineLevel="2" x14ac:dyDescent="0.25">
      <c r="A37" t="s">
        <v>10</v>
      </c>
      <c r="B37" t="s">
        <v>11</v>
      </c>
      <c r="C37" t="s">
        <v>12</v>
      </c>
      <c r="D37" t="s">
        <v>13</v>
      </c>
      <c r="E37" t="s">
        <v>18</v>
      </c>
      <c r="F37" t="s">
        <v>15</v>
      </c>
      <c r="G37" t="s">
        <v>19</v>
      </c>
      <c r="H37" t="s">
        <v>56</v>
      </c>
      <c r="J37" s="4">
        <v>0</v>
      </c>
    </row>
    <row r="38" spans="1:10" outlineLevel="2" x14ac:dyDescent="0.25">
      <c r="A38" t="s">
        <v>10</v>
      </c>
      <c r="B38" t="s">
        <v>11</v>
      </c>
      <c r="C38" t="s">
        <v>12</v>
      </c>
      <c r="D38" t="s">
        <v>13</v>
      </c>
      <c r="E38" t="s">
        <v>18</v>
      </c>
      <c r="F38" t="s">
        <v>15</v>
      </c>
      <c r="G38" t="s">
        <v>19</v>
      </c>
      <c r="H38" t="s">
        <v>57</v>
      </c>
      <c r="J38" s="4">
        <v>1621120</v>
      </c>
    </row>
    <row r="39" spans="1:10" outlineLevel="2" x14ac:dyDescent="0.25">
      <c r="A39" t="s">
        <v>10</v>
      </c>
      <c r="B39" t="s">
        <v>11</v>
      </c>
      <c r="C39" t="s">
        <v>12</v>
      </c>
      <c r="D39" t="s">
        <v>13</v>
      </c>
      <c r="E39" t="s">
        <v>18</v>
      </c>
      <c r="F39" t="s">
        <v>15</v>
      </c>
      <c r="G39" t="s">
        <v>19</v>
      </c>
      <c r="H39" t="s">
        <v>58</v>
      </c>
      <c r="J39" s="4">
        <v>876330</v>
      </c>
    </row>
    <row r="40" spans="1:10" outlineLevel="2" x14ac:dyDescent="0.25">
      <c r="A40" t="s">
        <v>10</v>
      </c>
      <c r="B40" t="s">
        <v>11</v>
      </c>
      <c r="C40" t="s">
        <v>12</v>
      </c>
      <c r="D40" t="s">
        <v>13</v>
      </c>
      <c r="E40" t="s">
        <v>18</v>
      </c>
      <c r="F40" t="s">
        <v>15</v>
      </c>
      <c r="G40" t="s">
        <v>19</v>
      </c>
      <c r="H40" t="s">
        <v>59</v>
      </c>
      <c r="J40" s="4">
        <v>459707</v>
      </c>
    </row>
    <row r="41" spans="1:10" outlineLevel="2" x14ac:dyDescent="0.25">
      <c r="A41" t="s">
        <v>10</v>
      </c>
      <c r="B41" t="s">
        <v>11</v>
      </c>
      <c r="C41" t="s">
        <v>12</v>
      </c>
      <c r="D41" t="s">
        <v>13</v>
      </c>
      <c r="E41" t="s">
        <v>18</v>
      </c>
      <c r="F41" t="s">
        <v>15</v>
      </c>
      <c r="G41" t="s">
        <v>19</v>
      </c>
      <c r="H41" t="s">
        <v>60</v>
      </c>
      <c r="J41" s="4">
        <v>15414000</v>
      </c>
    </row>
    <row r="42" spans="1:10" outlineLevel="2" x14ac:dyDescent="0.25">
      <c r="A42" t="s">
        <v>10</v>
      </c>
      <c r="B42" t="s">
        <v>11</v>
      </c>
      <c r="C42" t="s">
        <v>12</v>
      </c>
      <c r="D42" t="s">
        <v>13</v>
      </c>
      <c r="E42" t="s">
        <v>18</v>
      </c>
      <c r="F42" t="s">
        <v>15</v>
      </c>
      <c r="G42" t="s">
        <v>19</v>
      </c>
      <c r="H42" t="s">
        <v>61</v>
      </c>
      <c r="J42" s="4">
        <v>0</v>
      </c>
    </row>
    <row r="43" spans="1:10" outlineLevel="2" x14ac:dyDescent="0.25">
      <c r="A43" t="s">
        <v>10</v>
      </c>
      <c r="B43" t="s">
        <v>11</v>
      </c>
      <c r="C43" t="s">
        <v>12</v>
      </c>
      <c r="D43" t="s">
        <v>13</v>
      </c>
      <c r="E43" t="s">
        <v>18</v>
      </c>
      <c r="F43" t="s">
        <v>15</v>
      </c>
      <c r="G43" t="s">
        <v>19</v>
      </c>
      <c r="H43" t="s">
        <v>62</v>
      </c>
      <c r="J43" s="4">
        <v>4806667</v>
      </c>
    </row>
    <row r="44" spans="1:10" outlineLevel="2" x14ac:dyDescent="0.25">
      <c r="A44" t="s">
        <v>10</v>
      </c>
      <c r="B44" t="s">
        <v>11</v>
      </c>
      <c r="C44" t="s">
        <v>12</v>
      </c>
      <c r="D44" t="s">
        <v>13</v>
      </c>
      <c r="E44" t="s">
        <v>18</v>
      </c>
      <c r="F44" t="s">
        <v>15</v>
      </c>
      <c r="G44" t="s">
        <v>19</v>
      </c>
      <c r="H44" t="s">
        <v>63</v>
      </c>
      <c r="J44" s="4">
        <v>0</v>
      </c>
    </row>
    <row r="45" spans="1:10" outlineLevel="2" x14ac:dyDescent="0.25">
      <c r="A45" t="s">
        <v>10</v>
      </c>
      <c r="B45" t="s">
        <v>11</v>
      </c>
      <c r="C45" t="s">
        <v>12</v>
      </c>
      <c r="D45" t="s">
        <v>13</v>
      </c>
      <c r="E45" t="s">
        <v>18</v>
      </c>
      <c r="F45" t="s">
        <v>15</v>
      </c>
      <c r="G45" t="s">
        <v>19</v>
      </c>
      <c r="H45" t="s">
        <v>64</v>
      </c>
      <c r="J45" s="4">
        <v>0</v>
      </c>
    </row>
    <row r="46" spans="1:10" outlineLevel="2" x14ac:dyDescent="0.25">
      <c r="A46" t="s">
        <v>10</v>
      </c>
      <c r="B46" t="s">
        <v>11</v>
      </c>
      <c r="C46" t="s">
        <v>12</v>
      </c>
      <c r="D46" t="s">
        <v>13</v>
      </c>
      <c r="E46" t="s">
        <v>18</v>
      </c>
      <c r="F46" t="s">
        <v>15</v>
      </c>
      <c r="G46" t="s">
        <v>19</v>
      </c>
      <c r="H46" t="s">
        <v>65</v>
      </c>
      <c r="J46" s="4">
        <v>0</v>
      </c>
    </row>
    <row r="47" spans="1:10" outlineLevel="2" x14ac:dyDescent="0.25">
      <c r="A47" t="s">
        <v>10</v>
      </c>
      <c r="B47" t="s">
        <v>11</v>
      </c>
      <c r="C47" t="s">
        <v>12</v>
      </c>
      <c r="D47" t="s">
        <v>13</v>
      </c>
      <c r="E47" t="s">
        <v>18</v>
      </c>
      <c r="F47" t="s">
        <v>15</v>
      </c>
      <c r="G47" t="s">
        <v>19</v>
      </c>
      <c r="H47" t="s">
        <v>66</v>
      </c>
      <c r="J47" s="4">
        <v>0</v>
      </c>
    </row>
    <row r="48" spans="1:10" outlineLevel="2" x14ac:dyDescent="0.25">
      <c r="A48" t="s">
        <v>10</v>
      </c>
      <c r="B48" t="s">
        <v>11</v>
      </c>
      <c r="C48" t="s">
        <v>12</v>
      </c>
      <c r="D48" t="s">
        <v>13</v>
      </c>
      <c r="E48" t="s">
        <v>18</v>
      </c>
      <c r="F48" t="s">
        <v>15</v>
      </c>
      <c r="G48" t="s">
        <v>19</v>
      </c>
      <c r="H48" t="s">
        <v>67</v>
      </c>
      <c r="J48" s="4">
        <v>103340</v>
      </c>
    </row>
    <row r="49" spans="1:10" outlineLevel="2" x14ac:dyDescent="0.25">
      <c r="A49" t="s">
        <v>10</v>
      </c>
      <c r="B49" t="s">
        <v>11</v>
      </c>
      <c r="C49" t="s">
        <v>12</v>
      </c>
      <c r="D49" t="s">
        <v>13</v>
      </c>
      <c r="E49" t="s">
        <v>18</v>
      </c>
      <c r="F49" t="s">
        <v>15</v>
      </c>
      <c r="G49" t="s">
        <v>19</v>
      </c>
      <c r="H49" t="s">
        <v>68</v>
      </c>
      <c r="J49" s="4">
        <v>6898621</v>
      </c>
    </row>
    <row r="50" spans="1:10" outlineLevel="2" x14ac:dyDescent="0.25">
      <c r="A50" t="s">
        <v>10</v>
      </c>
      <c r="B50" t="s">
        <v>11</v>
      </c>
      <c r="C50" t="s">
        <v>12</v>
      </c>
      <c r="D50" t="s">
        <v>13</v>
      </c>
      <c r="E50" t="s">
        <v>18</v>
      </c>
      <c r="F50" t="s">
        <v>15</v>
      </c>
      <c r="G50" t="s">
        <v>19</v>
      </c>
      <c r="H50" t="s">
        <v>69</v>
      </c>
      <c r="J50" s="4">
        <v>0</v>
      </c>
    </row>
    <row r="51" spans="1:10" outlineLevel="2" x14ac:dyDescent="0.25">
      <c r="A51" t="s">
        <v>10</v>
      </c>
      <c r="B51" t="s">
        <v>11</v>
      </c>
      <c r="C51" t="s">
        <v>12</v>
      </c>
      <c r="D51" t="s">
        <v>13</v>
      </c>
      <c r="E51" t="s">
        <v>18</v>
      </c>
      <c r="F51" t="s">
        <v>15</v>
      </c>
      <c r="G51" t="s">
        <v>19</v>
      </c>
      <c r="H51" t="s">
        <v>70</v>
      </c>
      <c r="J51" s="4">
        <v>814250</v>
      </c>
    </row>
    <row r="52" spans="1:10" outlineLevel="2" x14ac:dyDescent="0.25">
      <c r="A52" t="s">
        <v>10</v>
      </c>
      <c r="B52" t="s">
        <v>11</v>
      </c>
      <c r="C52" t="s">
        <v>12</v>
      </c>
      <c r="D52" t="s">
        <v>13</v>
      </c>
      <c r="E52" t="s">
        <v>18</v>
      </c>
      <c r="F52" t="s">
        <v>15</v>
      </c>
      <c r="G52" t="s">
        <v>19</v>
      </c>
      <c r="H52" t="s">
        <v>71</v>
      </c>
      <c r="J52" s="4">
        <v>68000</v>
      </c>
    </row>
    <row r="53" spans="1:10" outlineLevel="2" x14ac:dyDescent="0.25">
      <c r="A53" t="s">
        <v>10</v>
      </c>
      <c r="B53" t="s">
        <v>11</v>
      </c>
      <c r="C53" t="s">
        <v>12</v>
      </c>
      <c r="D53" t="s">
        <v>13</v>
      </c>
      <c r="E53" t="s">
        <v>18</v>
      </c>
      <c r="F53" t="s">
        <v>15</v>
      </c>
      <c r="G53" t="s">
        <v>19</v>
      </c>
      <c r="H53" t="s">
        <v>72</v>
      </c>
      <c r="J53" s="4">
        <v>0</v>
      </c>
    </row>
    <row r="54" spans="1:10" outlineLevel="2" x14ac:dyDescent="0.25">
      <c r="A54" t="s">
        <v>10</v>
      </c>
      <c r="B54" t="s">
        <v>11</v>
      </c>
      <c r="C54" t="s">
        <v>12</v>
      </c>
      <c r="D54" t="s">
        <v>13</v>
      </c>
      <c r="E54" t="s">
        <v>18</v>
      </c>
      <c r="F54" t="s">
        <v>15</v>
      </c>
      <c r="G54" t="s">
        <v>19</v>
      </c>
      <c r="H54" t="s">
        <v>73</v>
      </c>
      <c r="J54" s="4">
        <v>0</v>
      </c>
    </row>
    <row r="55" spans="1:10" outlineLevel="2" x14ac:dyDescent="0.25">
      <c r="A55" t="s">
        <v>10</v>
      </c>
      <c r="B55" t="s">
        <v>11</v>
      </c>
      <c r="C55" t="s">
        <v>12</v>
      </c>
      <c r="D55" t="s">
        <v>13</v>
      </c>
      <c r="E55" t="s">
        <v>18</v>
      </c>
      <c r="F55" t="s">
        <v>15</v>
      </c>
      <c r="G55" t="s">
        <v>19</v>
      </c>
      <c r="H55" t="s">
        <v>74</v>
      </c>
      <c r="J55" s="4">
        <v>1210084</v>
      </c>
    </row>
    <row r="56" spans="1:10" outlineLevel="2" x14ac:dyDescent="0.25">
      <c r="A56" t="s">
        <v>10</v>
      </c>
      <c r="B56" t="s">
        <v>11</v>
      </c>
      <c r="C56" t="s">
        <v>12</v>
      </c>
      <c r="D56" t="s">
        <v>13</v>
      </c>
      <c r="E56" t="s">
        <v>18</v>
      </c>
      <c r="F56" t="s">
        <v>15</v>
      </c>
      <c r="G56" t="s">
        <v>75</v>
      </c>
      <c r="H56" t="s">
        <v>76</v>
      </c>
      <c r="J56" s="4">
        <v>9682750</v>
      </c>
    </row>
    <row r="57" spans="1:10" outlineLevel="2" x14ac:dyDescent="0.25">
      <c r="A57" t="s">
        <v>10</v>
      </c>
      <c r="B57" t="s">
        <v>11</v>
      </c>
      <c r="C57" t="s">
        <v>12</v>
      </c>
      <c r="D57" t="s">
        <v>13</v>
      </c>
      <c r="E57" t="s">
        <v>18</v>
      </c>
      <c r="F57" t="s">
        <v>15</v>
      </c>
      <c r="G57" t="s">
        <v>75</v>
      </c>
      <c r="H57" t="s">
        <v>77</v>
      </c>
      <c r="J57" s="4">
        <v>0</v>
      </c>
    </row>
    <row r="58" spans="1:10" outlineLevel="2" x14ac:dyDescent="0.25">
      <c r="A58" t="s">
        <v>10</v>
      </c>
      <c r="B58" t="s">
        <v>11</v>
      </c>
      <c r="C58" t="s">
        <v>12</v>
      </c>
      <c r="D58" t="s">
        <v>13</v>
      </c>
      <c r="E58" t="s">
        <v>18</v>
      </c>
      <c r="F58" t="s">
        <v>15</v>
      </c>
      <c r="G58" t="s">
        <v>75</v>
      </c>
      <c r="H58" t="s">
        <v>78</v>
      </c>
      <c r="J58" s="4">
        <v>189800</v>
      </c>
    </row>
    <row r="59" spans="1:10" outlineLevel="2" x14ac:dyDescent="0.25">
      <c r="A59" t="s">
        <v>10</v>
      </c>
      <c r="B59" t="s">
        <v>11</v>
      </c>
      <c r="C59" t="s">
        <v>12</v>
      </c>
      <c r="D59" t="s">
        <v>13</v>
      </c>
      <c r="E59" t="s">
        <v>18</v>
      </c>
      <c r="F59" t="s">
        <v>15</v>
      </c>
      <c r="G59" t="s">
        <v>75</v>
      </c>
      <c r="H59" t="s">
        <v>79</v>
      </c>
      <c r="J59" s="4">
        <v>1150000</v>
      </c>
    </row>
    <row r="60" spans="1:10" outlineLevel="2" x14ac:dyDescent="0.25">
      <c r="A60" t="s">
        <v>10</v>
      </c>
      <c r="B60" t="s">
        <v>11</v>
      </c>
      <c r="C60" t="s">
        <v>12</v>
      </c>
      <c r="D60" t="s">
        <v>13</v>
      </c>
      <c r="E60" t="s">
        <v>18</v>
      </c>
      <c r="F60" t="s">
        <v>15</v>
      </c>
      <c r="G60" t="s">
        <v>75</v>
      </c>
      <c r="H60" t="s">
        <v>80</v>
      </c>
      <c r="J60" s="4">
        <v>1309746</v>
      </c>
    </row>
    <row r="61" spans="1:10" outlineLevel="2" x14ac:dyDescent="0.25">
      <c r="A61" t="s">
        <v>10</v>
      </c>
      <c r="B61" t="s">
        <v>11</v>
      </c>
      <c r="C61" t="s">
        <v>12</v>
      </c>
      <c r="D61" t="s">
        <v>13</v>
      </c>
      <c r="E61" t="s">
        <v>18</v>
      </c>
      <c r="F61" t="s">
        <v>15</v>
      </c>
      <c r="G61" t="s">
        <v>75</v>
      </c>
      <c r="H61" t="s">
        <v>81</v>
      </c>
      <c r="J61" s="4">
        <v>-138785</v>
      </c>
    </row>
    <row r="62" spans="1:10" outlineLevel="2" x14ac:dyDescent="0.25">
      <c r="A62" t="s">
        <v>10</v>
      </c>
      <c r="B62" t="s">
        <v>11</v>
      </c>
      <c r="C62" t="s">
        <v>12</v>
      </c>
      <c r="D62" t="s">
        <v>13</v>
      </c>
      <c r="E62" t="s">
        <v>18</v>
      </c>
      <c r="F62" t="s">
        <v>15</v>
      </c>
      <c r="G62" t="s">
        <v>75</v>
      </c>
      <c r="H62" t="s">
        <v>82</v>
      </c>
      <c r="J62" s="4">
        <v>1421497</v>
      </c>
    </row>
    <row r="63" spans="1:10" outlineLevel="2" x14ac:dyDescent="0.25">
      <c r="A63" t="s">
        <v>10</v>
      </c>
      <c r="B63" t="s">
        <v>11</v>
      </c>
      <c r="C63" t="s">
        <v>12</v>
      </c>
      <c r="D63" t="s">
        <v>13</v>
      </c>
      <c r="E63" t="s">
        <v>18</v>
      </c>
      <c r="F63" t="s">
        <v>15</v>
      </c>
      <c r="G63" t="s">
        <v>75</v>
      </c>
      <c r="H63" t="s">
        <v>83</v>
      </c>
      <c r="J63" s="4">
        <v>1469801</v>
      </c>
    </row>
    <row r="64" spans="1:10" outlineLevel="2" x14ac:dyDescent="0.25">
      <c r="A64" t="s">
        <v>10</v>
      </c>
      <c r="B64" t="s">
        <v>11</v>
      </c>
      <c r="C64" t="s">
        <v>12</v>
      </c>
      <c r="D64" t="s">
        <v>13</v>
      </c>
      <c r="E64" t="s">
        <v>18</v>
      </c>
      <c r="F64" t="s">
        <v>15</v>
      </c>
      <c r="G64" t="s">
        <v>75</v>
      </c>
      <c r="H64" t="s">
        <v>84</v>
      </c>
      <c r="J64" s="4">
        <v>400000</v>
      </c>
    </row>
    <row r="65" spans="1:10" outlineLevel="2" x14ac:dyDescent="0.25">
      <c r="A65" t="s">
        <v>10</v>
      </c>
      <c r="B65" t="s">
        <v>11</v>
      </c>
      <c r="C65" t="s">
        <v>12</v>
      </c>
      <c r="D65" t="s">
        <v>13</v>
      </c>
      <c r="E65" t="s">
        <v>18</v>
      </c>
      <c r="F65" t="s">
        <v>15</v>
      </c>
      <c r="G65" t="s">
        <v>75</v>
      </c>
      <c r="H65" t="s">
        <v>85</v>
      </c>
      <c r="J65" s="4">
        <v>420932</v>
      </c>
    </row>
    <row r="66" spans="1:10" outlineLevel="2" x14ac:dyDescent="0.25">
      <c r="A66" t="s">
        <v>10</v>
      </c>
      <c r="B66" t="s">
        <v>11</v>
      </c>
      <c r="C66" t="s">
        <v>12</v>
      </c>
      <c r="D66" t="s">
        <v>13</v>
      </c>
      <c r="E66" t="s">
        <v>18</v>
      </c>
      <c r="F66" t="s">
        <v>15</v>
      </c>
      <c r="G66" t="s">
        <v>75</v>
      </c>
      <c r="H66" t="s">
        <v>86</v>
      </c>
      <c r="J66" s="4">
        <v>157054</v>
      </c>
    </row>
    <row r="67" spans="1:10" outlineLevel="2" x14ac:dyDescent="0.25">
      <c r="A67" t="s">
        <v>10</v>
      </c>
      <c r="B67" t="s">
        <v>11</v>
      </c>
      <c r="C67" t="s">
        <v>12</v>
      </c>
      <c r="D67" t="s">
        <v>13</v>
      </c>
      <c r="E67" t="s">
        <v>18</v>
      </c>
      <c r="F67" t="s">
        <v>15</v>
      </c>
      <c r="G67" t="s">
        <v>75</v>
      </c>
      <c r="H67" t="s">
        <v>87</v>
      </c>
      <c r="J67" s="4">
        <v>0</v>
      </c>
    </row>
    <row r="68" spans="1:10" outlineLevel="2" x14ac:dyDescent="0.25">
      <c r="A68" t="s">
        <v>10</v>
      </c>
      <c r="B68" t="s">
        <v>11</v>
      </c>
      <c r="C68" t="s">
        <v>12</v>
      </c>
      <c r="D68" t="s">
        <v>13</v>
      </c>
      <c r="E68" t="s">
        <v>18</v>
      </c>
      <c r="F68" t="s">
        <v>15</v>
      </c>
      <c r="G68" t="s">
        <v>75</v>
      </c>
      <c r="H68" t="s">
        <v>88</v>
      </c>
      <c r="J68" s="4">
        <v>1934773</v>
      </c>
    </row>
    <row r="69" spans="1:10" outlineLevel="2" x14ac:dyDescent="0.25">
      <c r="A69" t="s">
        <v>10</v>
      </c>
      <c r="B69" t="s">
        <v>11</v>
      </c>
      <c r="C69" t="s">
        <v>12</v>
      </c>
      <c r="D69" t="s">
        <v>13</v>
      </c>
      <c r="E69" t="s">
        <v>18</v>
      </c>
      <c r="F69" t="s">
        <v>15</v>
      </c>
      <c r="G69" t="s">
        <v>75</v>
      </c>
      <c r="H69" t="s">
        <v>89</v>
      </c>
      <c r="J69" s="4">
        <v>165190</v>
      </c>
    </row>
    <row r="70" spans="1:10" outlineLevel="2" x14ac:dyDescent="0.25">
      <c r="A70" t="s">
        <v>10</v>
      </c>
      <c r="B70" t="s">
        <v>11</v>
      </c>
      <c r="C70" t="s">
        <v>12</v>
      </c>
      <c r="D70" t="s">
        <v>13</v>
      </c>
      <c r="E70" t="s">
        <v>18</v>
      </c>
      <c r="F70" t="s">
        <v>15</v>
      </c>
      <c r="G70" t="s">
        <v>75</v>
      </c>
      <c r="H70" t="s">
        <v>90</v>
      </c>
      <c r="J70" s="4">
        <v>24017141</v>
      </c>
    </row>
    <row r="71" spans="1:10" outlineLevel="2" x14ac:dyDescent="0.25">
      <c r="A71" t="s">
        <v>10</v>
      </c>
      <c r="B71" t="s">
        <v>11</v>
      </c>
      <c r="C71" t="s">
        <v>12</v>
      </c>
      <c r="D71" t="s">
        <v>13</v>
      </c>
      <c r="E71" t="s">
        <v>18</v>
      </c>
      <c r="F71" t="s">
        <v>15</v>
      </c>
      <c r="G71" t="s">
        <v>75</v>
      </c>
      <c r="H71" t="s">
        <v>91</v>
      </c>
      <c r="J71" s="4">
        <v>7128532</v>
      </c>
    </row>
    <row r="72" spans="1:10" outlineLevel="2" x14ac:dyDescent="0.25">
      <c r="A72" t="s">
        <v>10</v>
      </c>
      <c r="B72" t="s">
        <v>11</v>
      </c>
      <c r="C72" t="s">
        <v>12</v>
      </c>
      <c r="D72" t="s">
        <v>13</v>
      </c>
      <c r="E72" t="s">
        <v>18</v>
      </c>
      <c r="F72" t="s">
        <v>15</v>
      </c>
      <c r="G72" t="s">
        <v>27</v>
      </c>
      <c r="H72" t="s">
        <v>92</v>
      </c>
      <c r="J72" s="4">
        <v>6231523</v>
      </c>
    </row>
    <row r="73" spans="1:10" outlineLevel="2" x14ac:dyDescent="0.25">
      <c r="A73" t="s">
        <v>10</v>
      </c>
      <c r="B73" t="s">
        <v>11</v>
      </c>
      <c r="C73" t="s">
        <v>12</v>
      </c>
      <c r="D73" t="s">
        <v>13</v>
      </c>
      <c r="E73" t="s">
        <v>18</v>
      </c>
      <c r="F73" t="s">
        <v>15</v>
      </c>
      <c r="G73" t="s">
        <v>27</v>
      </c>
      <c r="H73" t="s">
        <v>93</v>
      </c>
      <c r="J73" s="4">
        <v>416536</v>
      </c>
    </row>
    <row r="74" spans="1:10" outlineLevel="2" x14ac:dyDescent="0.25">
      <c r="A74" t="s">
        <v>10</v>
      </c>
      <c r="B74" t="s">
        <v>11</v>
      </c>
      <c r="C74" t="s">
        <v>12</v>
      </c>
      <c r="D74" t="s">
        <v>13</v>
      </c>
      <c r="E74" t="s">
        <v>18</v>
      </c>
      <c r="F74" t="s">
        <v>15</v>
      </c>
      <c r="G74" t="s">
        <v>27</v>
      </c>
      <c r="H74" t="s">
        <v>94</v>
      </c>
      <c r="J74" s="4">
        <v>21200</v>
      </c>
    </row>
    <row r="75" spans="1:10" outlineLevel="2" x14ac:dyDescent="0.25">
      <c r="A75" t="s">
        <v>10</v>
      </c>
      <c r="B75" t="s">
        <v>11</v>
      </c>
      <c r="C75" t="s">
        <v>12</v>
      </c>
      <c r="D75" t="s">
        <v>13</v>
      </c>
      <c r="E75" t="s">
        <v>18</v>
      </c>
      <c r="F75" t="s">
        <v>15</v>
      </c>
      <c r="G75" t="s">
        <v>27</v>
      </c>
      <c r="H75" t="s">
        <v>95</v>
      </c>
      <c r="J75" s="4">
        <v>0</v>
      </c>
    </row>
    <row r="76" spans="1:10" outlineLevel="2" x14ac:dyDescent="0.25">
      <c r="A76" t="s">
        <v>10</v>
      </c>
      <c r="B76" t="s">
        <v>11</v>
      </c>
      <c r="C76" t="s">
        <v>12</v>
      </c>
      <c r="D76" t="s">
        <v>13</v>
      </c>
      <c r="E76" t="s">
        <v>18</v>
      </c>
      <c r="F76" t="s">
        <v>15</v>
      </c>
      <c r="G76" t="s">
        <v>27</v>
      </c>
      <c r="H76" t="s">
        <v>96</v>
      </c>
      <c r="J76" s="4">
        <v>0</v>
      </c>
    </row>
    <row r="77" spans="1:10" outlineLevel="2" x14ac:dyDescent="0.25">
      <c r="A77" t="s">
        <v>10</v>
      </c>
      <c r="B77" t="s">
        <v>11</v>
      </c>
      <c r="C77" t="s">
        <v>12</v>
      </c>
      <c r="D77" t="s">
        <v>13</v>
      </c>
      <c r="E77" t="s">
        <v>18</v>
      </c>
      <c r="F77" t="s">
        <v>15</v>
      </c>
      <c r="G77" t="s">
        <v>27</v>
      </c>
      <c r="H77" t="s">
        <v>97</v>
      </c>
      <c r="J77" s="4">
        <v>0</v>
      </c>
    </row>
    <row r="78" spans="1:10" outlineLevel="2" x14ac:dyDescent="0.25">
      <c r="A78" t="s">
        <v>10</v>
      </c>
      <c r="B78" t="s">
        <v>11</v>
      </c>
      <c r="C78" t="s">
        <v>12</v>
      </c>
      <c r="D78" t="s">
        <v>13</v>
      </c>
      <c r="E78" t="s">
        <v>18</v>
      </c>
      <c r="F78" t="s">
        <v>15</v>
      </c>
      <c r="G78" t="s">
        <v>27</v>
      </c>
      <c r="H78" t="s">
        <v>98</v>
      </c>
      <c r="J78" s="4">
        <v>-15543.1</v>
      </c>
    </row>
    <row r="79" spans="1:10" outlineLevel="2" x14ac:dyDescent="0.25">
      <c r="A79" t="s">
        <v>10</v>
      </c>
      <c r="B79" t="s">
        <v>11</v>
      </c>
      <c r="C79" t="s">
        <v>12</v>
      </c>
      <c r="D79" t="s">
        <v>13</v>
      </c>
      <c r="E79" t="s">
        <v>18</v>
      </c>
      <c r="F79" t="s">
        <v>15</v>
      </c>
      <c r="G79" t="s">
        <v>27</v>
      </c>
      <c r="H79" t="s">
        <v>99</v>
      </c>
      <c r="J79" s="4">
        <v>0</v>
      </c>
    </row>
    <row r="80" spans="1:10" outlineLevel="1" x14ac:dyDescent="0.25">
      <c r="E80" s="2" t="s">
        <v>116</v>
      </c>
      <c r="J80" s="4">
        <f>SUBTOTAL(9,J8:J79)</f>
        <v>173142595.90000001</v>
      </c>
    </row>
    <row r="81" spans="1:10" outlineLevel="2" x14ac:dyDescent="0.25">
      <c r="A81" t="s">
        <v>10</v>
      </c>
      <c r="B81" t="s">
        <v>11</v>
      </c>
      <c r="C81" t="s">
        <v>12</v>
      </c>
      <c r="D81" t="s">
        <v>13</v>
      </c>
      <c r="E81" t="s">
        <v>21</v>
      </c>
      <c r="F81" t="s">
        <v>15</v>
      </c>
      <c r="G81" t="s">
        <v>22</v>
      </c>
      <c r="H81" t="s">
        <v>23</v>
      </c>
      <c r="J81" s="4">
        <v>27130686</v>
      </c>
    </row>
    <row r="82" spans="1:10" outlineLevel="2" x14ac:dyDescent="0.25">
      <c r="A82" t="s">
        <v>10</v>
      </c>
      <c r="B82" t="s">
        <v>11</v>
      </c>
      <c r="C82" t="s">
        <v>12</v>
      </c>
      <c r="D82" t="s">
        <v>13</v>
      </c>
      <c r="E82" t="s">
        <v>21</v>
      </c>
      <c r="F82" t="s">
        <v>15</v>
      </c>
      <c r="G82" t="s">
        <v>22</v>
      </c>
      <c r="H82" t="s">
        <v>24</v>
      </c>
      <c r="J82" s="4">
        <v>6360080</v>
      </c>
    </row>
    <row r="83" spans="1:10" outlineLevel="1" x14ac:dyDescent="0.25">
      <c r="E83" s="2" t="s">
        <v>117</v>
      </c>
      <c r="J83" s="4">
        <f>SUBTOTAL(9,J81:J82)</f>
        <v>33490766</v>
      </c>
    </row>
    <row r="84" spans="1:10" outlineLevel="2" x14ac:dyDescent="0.25">
      <c r="A84" t="s">
        <v>10</v>
      </c>
      <c r="B84" t="s">
        <v>11</v>
      </c>
      <c r="C84" t="s">
        <v>12</v>
      </c>
      <c r="D84" t="s">
        <v>13</v>
      </c>
      <c r="E84" t="s">
        <v>100</v>
      </c>
      <c r="F84" t="s">
        <v>15</v>
      </c>
      <c r="G84" t="s">
        <v>101</v>
      </c>
      <c r="H84" t="s">
        <v>102</v>
      </c>
      <c r="J84" s="4">
        <v>13643733</v>
      </c>
    </row>
    <row r="85" spans="1:10" outlineLevel="2" x14ac:dyDescent="0.25">
      <c r="A85" t="s">
        <v>10</v>
      </c>
      <c r="B85" t="s">
        <v>11</v>
      </c>
      <c r="C85" t="s">
        <v>12</v>
      </c>
      <c r="D85" t="s">
        <v>13</v>
      </c>
      <c r="E85" t="s">
        <v>100</v>
      </c>
      <c r="F85" t="s">
        <v>15</v>
      </c>
      <c r="G85" t="s">
        <v>101</v>
      </c>
      <c r="H85" t="s">
        <v>103</v>
      </c>
      <c r="J85" s="4">
        <v>3203232</v>
      </c>
    </row>
    <row r="86" spans="1:10" outlineLevel="2" x14ac:dyDescent="0.25">
      <c r="A86" t="s">
        <v>10</v>
      </c>
      <c r="B86" t="s">
        <v>11</v>
      </c>
      <c r="C86" t="s">
        <v>12</v>
      </c>
      <c r="D86" t="s">
        <v>13</v>
      </c>
      <c r="E86" t="s">
        <v>100</v>
      </c>
      <c r="F86" t="s">
        <v>15</v>
      </c>
      <c r="G86" t="s">
        <v>101</v>
      </c>
      <c r="H86" t="s">
        <v>104</v>
      </c>
      <c r="J86" s="4">
        <v>0</v>
      </c>
    </row>
    <row r="87" spans="1:10" outlineLevel="2" x14ac:dyDescent="0.25">
      <c r="A87" t="s">
        <v>10</v>
      </c>
      <c r="B87" t="s">
        <v>11</v>
      </c>
      <c r="C87" t="s">
        <v>12</v>
      </c>
      <c r="D87" t="s">
        <v>13</v>
      </c>
      <c r="E87" t="s">
        <v>100</v>
      </c>
      <c r="F87" t="s">
        <v>15</v>
      </c>
      <c r="G87" t="s">
        <v>101</v>
      </c>
      <c r="H87" t="s">
        <v>105</v>
      </c>
      <c r="J87" s="4">
        <v>1871250</v>
      </c>
    </row>
    <row r="88" spans="1:10" outlineLevel="2" x14ac:dyDescent="0.25">
      <c r="A88" t="s">
        <v>10</v>
      </c>
      <c r="B88" t="s">
        <v>11</v>
      </c>
      <c r="C88" t="s">
        <v>12</v>
      </c>
      <c r="D88" t="s">
        <v>13</v>
      </c>
      <c r="E88" t="s">
        <v>100</v>
      </c>
      <c r="F88" t="s">
        <v>15</v>
      </c>
      <c r="G88" t="s">
        <v>101</v>
      </c>
      <c r="H88" t="s">
        <v>106</v>
      </c>
      <c r="J88" s="4">
        <v>1609627</v>
      </c>
    </row>
    <row r="89" spans="1:10" outlineLevel="2" x14ac:dyDescent="0.25">
      <c r="A89" t="s">
        <v>10</v>
      </c>
      <c r="B89" t="s">
        <v>11</v>
      </c>
      <c r="C89" t="s">
        <v>12</v>
      </c>
      <c r="D89" t="s">
        <v>13</v>
      </c>
      <c r="E89" t="s">
        <v>100</v>
      </c>
      <c r="F89" t="s">
        <v>15</v>
      </c>
      <c r="G89" t="s">
        <v>101</v>
      </c>
      <c r="H89" t="s">
        <v>107</v>
      </c>
      <c r="J89" s="4">
        <v>150951</v>
      </c>
    </row>
    <row r="90" spans="1:10" outlineLevel="2" x14ac:dyDescent="0.25">
      <c r="A90" t="s">
        <v>10</v>
      </c>
      <c r="B90" t="s">
        <v>11</v>
      </c>
      <c r="C90" t="s">
        <v>12</v>
      </c>
      <c r="D90" t="s">
        <v>13</v>
      </c>
      <c r="E90" t="s">
        <v>100</v>
      </c>
      <c r="F90" t="s">
        <v>15</v>
      </c>
      <c r="G90" t="s">
        <v>101</v>
      </c>
      <c r="H90" t="s">
        <v>108</v>
      </c>
      <c r="J90" s="4">
        <v>1637183</v>
      </c>
    </row>
    <row r="91" spans="1:10" outlineLevel="2" x14ac:dyDescent="0.25">
      <c r="A91" t="s">
        <v>10</v>
      </c>
      <c r="B91" t="s">
        <v>11</v>
      </c>
      <c r="C91" t="s">
        <v>12</v>
      </c>
      <c r="D91" t="s">
        <v>13</v>
      </c>
      <c r="E91" t="s">
        <v>100</v>
      </c>
      <c r="F91" t="s">
        <v>15</v>
      </c>
      <c r="G91" t="s">
        <v>101</v>
      </c>
      <c r="H91" t="s">
        <v>109</v>
      </c>
      <c r="J91" s="4">
        <v>698706</v>
      </c>
    </row>
    <row r="92" spans="1:10" outlineLevel="2" x14ac:dyDescent="0.25">
      <c r="A92" t="s">
        <v>10</v>
      </c>
      <c r="B92" t="s">
        <v>11</v>
      </c>
      <c r="C92" t="s">
        <v>12</v>
      </c>
      <c r="D92" t="s">
        <v>13</v>
      </c>
      <c r="E92" t="s">
        <v>100</v>
      </c>
      <c r="F92" t="s">
        <v>15</v>
      </c>
      <c r="G92" t="s">
        <v>101</v>
      </c>
      <c r="H92" t="s">
        <v>110</v>
      </c>
      <c r="J92" s="4">
        <v>800000</v>
      </c>
    </row>
    <row r="93" spans="1:10" outlineLevel="2" x14ac:dyDescent="0.25">
      <c r="A93" t="s">
        <v>10</v>
      </c>
      <c r="B93" t="s">
        <v>11</v>
      </c>
      <c r="C93" t="s">
        <v>12</v>
      </c>
      <c r="D93" t="s">
        <v>13</v>
      </c>
      <c r="E93" t="s">
        <v>100</v>
      </c>
      <c r="F93" t="s">
        <v>15</v>
      </c>
      <c r="G93" t="s">
        <v>101</v>
      </c>
      <c r="H93" t="s">
        <v>111</v>
      </c>
      <c r="J93" s="4">
        <v>253232</v>
      </c>
    </row>
    <row r="94" spans="1:10" outlineLevel="2" x14ac:dyDescent="0.25">
      <c r="A94" t="s">
        <v>10</v>
      </c>
      <c r="B94" t="s">
        <v>11</v>
      </c>
      <c r="C94" t="s">
        <v>12</v>
      </c>
      <c r="D94" t="s">
        <v>13</v>
      </c>
      <c r="E94" t="s">
        <v>100</v>
      </c>
      <c r="F94" t="s">
        <v>15</v>
      </c>
      <c r="G94" t="s">
        <v>101</v>
      </c>
      <c r="H94" t="s">
        <v>112</v>
      </c>
      <c r="J94" s="4">
        <v>13300</v>
      </c>
    </row>
    <row r="95" spans="1:10" outlineLevel="2" x14ac:dyDescent="0.25">
      <c r="A95" t="s">
        <v>10</v>
      </c>
      <c r="B95" t="s">
        <v>11</v>
      </c>
      <c r="C95" t="s">
        <v>12</v>
      </c>
      <c r="D95" t="s">
        <v>13</v>
      </c>
      <c r="E95" t="s">
        <v>100</v>
      </c>
      <c r="F95" t="s">
        <v>15</v>
      </c>
      <c r="G95" t="s">
        <v>101</v>
      </c>
      <c r="H95" t="s">
        <v>113</v>
      </c>
      <c r="J95" s="4">
        <v>2174699</v>
      </c>
    </row>
    <row r="96" spans="1:10" outlineLevel="2" x14ac:dyDescent="0.25">
      <c r="A96" t="s">
        <v>10</v>
      </c>
      <c r="B96" t="s">
        <v>11</v>
      </c>
      <c r="C96" t="s">
        <v>12</v>
      </c>
      <c r="D96" t="s">
        <v>13</v>
      </c>
      <c r="E96" t="s">
        <v>100</v>
      </c>
      <c r="F96" t="s">
        <v>15</v>
      </c>
      <c r="G96" t="s">
        <v>101</v>
      </c>
      <c r="H96" t="s">
        <v>114</v>
      </c>
      <c r="J96" s="4">
        <v>180624</v>
      </c>
    </row>
    <row r="97" spans="5:10" outlineLevel="1" x14ac:dyDescent="0.25">
      <c r="E97" s="2" t="s">
        <v>118</v>
      </c>
      <c r="J97" s="4">
        <f>SUBTOTAL(9,J84:J96)</f>
        <v>26236537</v>
      </c>
    </row>
    <row r="98" spans="5:10" x14ac:dyDescent="0.25">
      <c r="E98" s="2" t="s">
        <v>119</v>
      </c>
      <c r="J98" s="4">
        <f>SUBTOTAL(9,J2:J96)</f>
        <v>829398547.08999991</v>
      </c>
    </row>
    <row r="101" spans="5:10" x14ac:dyDescent="0.25">
      <c r="I101" t="s">
        <v>120</v>
      </c>
      <c r="J101" s="4">
        <f>+J7-J80-J83-J97</f>
        <v>363658749.28999996</v>
      </c>
    </row>
    <row r="102" spans="5:10" x14ac:dyDescent="0.25">
      <c r="J102" s="4">
        <v>363658749.29000002</v>
      </c>
    </row>
    <row r="103" spans="5:10" x14ac:dyDescent="0.25">
      <c r="J103" s="4">
        <f>+J101-J102</f>
        <v>0</v>
      </c>
    </row>
  </sheetData>
  <autoFilter ref="A1:J1" xr:uid="{00000000-0001-0000-0000-000000000000}">
    <sortState xmlns:xlrd2="http://schemas.microsoft.com/office/spreadsheetml/2017/richdata2" ref="A2:J91">
      <sortCondition ref="H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datos_estado_resultados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Lucumi</cp:lastModifiedBy>
  <dcterms:created xsi:type="dcterms:W3CDTF">2026-01-30T16:55:06Z</dcterms:created>
  <dcterms:modified xsi:type="dcterms:W3CDTF">2026-01-30T18:18:57Z</dcterms:modified>
</cp:coreProperties>
</file>